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onardo.matos\Downloads\"/>
    </mc:Choice>
  </mc:AlternateContent>
  <bookViews>
    <workbookView xWindow="0" yWindow="0" windowWidth="13275" windowHeight="2250"/>
  </bookViews>
  <sheets>
    <sheet name="Planilha1" sheetId="1" r:id="rId1"/>
    <sheet name="Planilha2" sheetId="2" r:id="rId2"/>
  </sheets>
  <definedNames>
    <definedName name="aporte">Planilha1!$D$14</definedName>
    <definedName name="patrimonio">Planilha1!$D$17</definedName>
    <definedName name="qtdAnos">Planilha1!$D$15</definedName>
    <definedName name="rendimentoCarteira">Planilha1!$D$10</definedName>
    <definedName name="salario">Planilha1!$D$9</definedName>
    <definedName name="sugestaoInvestimento">Planilha1!$D$11</definedName>
    <definedName name="taxaMensal">Planilha1!$D$16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A16" i="2" l="1"/>
  <c r="A17" i="2"/>
  <c r="A18" i="2"/>
  <c r="A19" i="2"/>
  <c r="A20" i="2"/>
  <c r="A15" i="2"/>
  <c r="A14" i="2"/>
  <c r="A10" i="2"/>
  <c r="A11" i="2"/>
  <c r="A12" i="2"/>
  <c r="A13" i="2"/>
  <c r="A9" i="2"/>
  <c r="A3" i="2"/>
  <c r="A4" i="2"/>
  <c r="A5" i="2"/>
  <c r="A6" i="2"/>
  <c r="A7" i="2"/>
  <c r="A8" i="2"/>
  <c r="B37" i="1" l="1"/>
  <c r="D11" i="1" l="1"/>
  <c r="C21" i="1"/>
  <c r="D21" i="1" s="1"/>
  <c r="C25" i="1"/>
  <c r="D25" i="1" s="1"/>
  <c r="C24" i="1"/>
  <c r="D24" i="1" s="1"/>
  <c r="C23" i="1"/>
  <c r="D23" i="1" s="1"/>
  <c r="C22" i="1"/>
  <c r="D22" i="1" s="1"/>
  <c r="D17" i="1"/>
  <c r="D18" i="1" s="1"/>
</calcChain>
</file>

<file path=xl/sharedStrings.xml><?xml version="1.0" encoding="utf-8"?>
<sst xmlns="http://schemas.openxmlformats.org/spreadsheetml/2006/main" count="69" uniqueCount="33">
  <si>
    <t>INVESTIMENTO MENSAL</t>
  </si>
  <si>
    <t>Taxa de Redimento Mensal?</t>
  </si>
  <si>
    <t>Quanto Investir por Mês?</t>
  </si>
  <si>
    <t>Por Quantos Anos?</t>
  </si>
  <si>
    <t>Patrimômio acumulado?</t>
  </si>
  <si>
    <t>Dividendos Mensais?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</si>
  <si>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</si>
  <si>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</si>
  <si>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</si>
  <si>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</si>
  <si>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</si>
  <si>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</si>
  <si>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</t>
  </si>
  <si>
    <t>Salário</t>
  </si>
  <si>
    <t>Rendimento Carteira</t>
  </si>
  <si>
    <t>Sugestões de Investimento</t>
  </si>
  <si>
    <t>CONFIGURAÇÕES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</si>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</sst>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  <font>
      <b/>
      <sz val="12"/>
      <color rgb="FFF8F3ED"/>
      <name val="Aptos narrow"/>
    </font>
    <font>
      <b/>
      <sz val="14"/>
      <color rgb="FFF8F3ED"/>
      <name val="Aptos narrow"/>
    </font>
    <font>
      <b/>
      <sz val="12"/>
      <color rgb="FF2C465F"/>
      <name val="Aptos narrow"/>
    </font>
    <font>
      <b/>
      <sz val="14"/>
      <color rgb="FF2C465F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2C465F"/>
        <bgColor indexed="64"/>
      </patternFill>
    </fill>
    <fill>
      <patternFill patternType="solid">
        <fgColor rgb="FFF8F3E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 style="medium">
        <color indexed="64"/>
      </bottom>
      <diagonal/>
    </border>
    <border>
      <left/>
      <right style="thin">
        <color theme="0" tint="-0.14993743705557422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165" fontId="4" fillId="0" borderId="12" xfId="0" applyNumberFormat="1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/>
    </xf>
    <xf numFmtId="8" fontId="5" fillId="5" borderId="6" xfId="0" applyNumberFormat="1" applyFont="1" applyFill="1" applyBorder="1" applyAlignment="1">
      <alignment horizontal="center" vertical="center"/>
    </xf>
    <xf numFmtId="8" fontId="5" fillId="5" borderId="7" xfId="0" applyNumberFormat="1" applyFont="1" applyFill="1" applyBorder="1" applyAlignment="1">
      <alignment horizontal="center"/>
    </xf>
    <xf numFmtId="8" fontId="4" fillId="5" borderId="9" xfId="0" applyNumberFormat="1" applyFont="1" applyFill="1" applyBorder="1" applyAlignment="1">
      <alignment horizontal="center"/>
    </xf>
    <xf numFmtId="8" fontId="4" fillId="5" borderId="12" xfId="0" applyNumberFormat="1" applyFont="1" applyFill="1" applyBorder="1" applyAlignment="1">
      <alignment horizontal="center"/>
    </xf>
    <xf numFmtId="8" fontId="4" fillId="5" borderId="10" xfId="0" applyNumberFormat="1" applyFont="1" applyFill="1" applyBorder="1" applyAlignment="1">
      <alignment horizontal="center"/>
    </xf>
    <xf numFmtId="8" fontId="4" fillId="5" borderId="16" xfId="0" applyNumberFormat="1" applyFont="1" applyFill="1" applyBorder="1" applyAlignment="1">
      <alignment horizontal="center"/>
    </xf>
    <xf numFmtId="8" fontId="4" fillId="5" borderId="17" xfId="0" applyNumberFormat="1" applyFont="1" applyFill="1" applyBorder="1" applyAlignment="1">
      <alignment horizontal="center"/>
    </xf>
    <xf numFmtId="0" fontId="0" fillId="0" borderId="8" xfId="0" applyBorder="1"/>
    <xf numFmtId="0" fontId="7" fillId="2" borderId="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1"/>
    </xf>
    <xf numFmtId="0" fontId="7" fillId="2" borderId="18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indent="1"/>
    </xf>
    <xf numFmtId="0" fontId="5" fillId="5" borderId="20" xfId="0" applyFont="1" applyFill="1" applyBorder="1" applyAlignment="1">
      <alignment horizontal="left" indent="1"/>
    </xf>
    <xf numFmtId="0" fontId="5" fillId="5" borderId="4" xfId="0" applyFont="1" applyFill="1" applyBorder="1" applyAlignment="1">
      <alignment horizontal="left" indent="1"/>
    </xf>
    <xf numFmtId="0" fontId="5" fillId="5" borderId="22" xfId="0" applyFont="1" applyFill="1" applyBorder="1" applyAlignment="1">
      <alignment horizontal="left" indent="1"/>
    </xf>
    <xf numFmtId="165" fontId="4" fillId="5" borderId="17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left" indent="1"/>
    </xf>
    <xf numFmtId="0" fontId="4" fillId="5" borderId="19" xfId="0" applyFont="1" applyFill="1" applyBorder="1" applyAlignment="1">
      <alignment horizontal="left" indent="1"/>
    </xf>
    <xf numFmtId="0" fontId="4" fillId="5" borderId="20" xfId="0" applyFont="1" applyFill="1" applyBorder="1" applyAlignment="1">
      <alignment horizontal="left" indent="1"/>
    </xf>
    <xf numFmtId="0" fontId="5" fillId="5" borderId="21" xfId="0" applyFont="1" applyFill="1" applyBorder="1" applyAlignment="1">
      <alignment horizontal="left" indent="1"/>
    </xf>
    <xf numFmtId="0" fontId="5" fillId="5" borderId="11" xfId="0" applyFont="1" applyFill="1" applyBorder="1" applyAlignment="1">
      <alignment horizontal="left" indent="1"/>
    </xf>
    <xf numFmtId="0" fontId="5" fillId="5" borderId="13" xfId="0" applyFont="1" applyFill="1" applyBorder="1" applyAlignment="1">
      <alignment horizontal="left" indent="1"/>
    </xf>
    <xf numFmtId="0" fontId="5" fillId="5" borderId="15" xfId="0" applyFont="1" applyFill="1" applyBorder="1" applyAlignment="1">
      <alignment horizontal="left" indent="1"/>
    </xf>
    <xf numFmtId="0" fontId="9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9" fontId="0" fillId="0" borderId="0" xfId="0" applyNumberFormat="1" applyAlignment="1">
      <alignment horizontal="center"/>
    </xf>
    <xf numFmtId="0" fontId="8" fillId="3" borderId="0" xfId="0" applyFont="1" applyFill="1" applyBorder="1" applyAlignment="1">
      <alignment horizontal="center" vertical="center"/>
    </xf>
    <xf numFmtId="9" fontId="0" fillId="0" borderId="8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8" xfId="0" applyNumberFormat="1" applyFill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165" fontId="2" fillId="4" borderId="0" xfId="1" applyNumberFormat="1" applyFont="1" applyFill="1" applyAlignment="1">
      <alignment horizontal="right" indent="5"/>
    </xf>
    <xf numFmtId="0" fontId="5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9" fontId="0" fillId="6" borderId="0" xfId="2" applyFont="1" applyFill="1" applyAlignment="1">
      <alignment horizontal="center"/>
    </xf>
    <xf numFmtId="165" fontId="0" fillId="6" borderId="0" xfId="1" applyNumberFormat="1" applyFont="1" applyFill="1" applyAlignment="1">
      <alignment horizontal="center"/>
    </xf>
    <xf numFmtId="0" fontId="4" fillId="5" borderId="0" xfId="0" applyFont="1" applyFill="1" applyBorder="1" applyAlignment="1"/>
    <xf numFmtId="165" fontId="4" fillId="6" borderId="0" xfId="0" applyNumberFormat="1" applyFont="1" applyFill="1" applyBorder="1" applyAlignment="1">
      <alignment horizontal="center"/>
    </xf>
    <xf numFmtId="165" fontId="5" fillId="5" borderId="0" xfId="0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2C465F"/>
      <color rgb="FFF8F3ED"/>
      <color rgb="FFFCF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Planilha1!$B$31:$B$36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Planilha1!$C$31:$C$36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2-4492-A9F4-3AC7FA914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1</xdr:row>
      <xdr:rowOff>0</xdr:rowOff>
    </xdr:from>
    <xdr:to>
      <xdr:col>4</xdr:col>
      <xdr:colOff>9526</xdr:colOff>
      <xdr:row>5</xdr:row>
      <xdr:rowOff>180975</xdr:rowOff>
    </xdr:to>
    <xdr:sp macro="" textlink="">
      <xdr:nvSpPr>
        <xdr:cNvPr id="3" name="Retângulo Arredondado 2"/>
        <xdr:cNvSpPr/>
      </xdr:nvSpPr>
      <xdr:spPr>
        <a:xfrm>
          <a:off x="381001" y="190500"/>
          <a:ext cx="5753100" cy="942975"/>
        </a:xfrm>
        <a:prstGeom prst="roundRect">
          <a:avLst/>
        </a:prstGeom>
        <a:solidFill>
          <a:srgbClr val="FCF7F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solidFill>
                <a:srgbClr val="2C465F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LEO INVEST</a:t>
          </a:r>
        </a:p>
      </xdr:txBody>
    </xdr:sp>
    <xdr:clientData/>
  </xdr:twoCellAnchor>
  <xdr:twoCellAnchor editAs="absolute">
    <xdr:from>
      <xdr:col>1</xdr:col>
      <xdr:colOff>600075</xdr:colOff>
      <xdr:row>1</xdr:row>
      <xdr:rowOff>19050</xdr:rowOff>
    </xdr:from>
    <xdr:to>
      <xdr:col>1</xdr:col>
      <xdr:colOff>1476375</xdr:colOff>
      <xdr:row>5</xdr:row>
      <xdr:rowOff>133350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209550"/>
          <a:ext cx="876300" cy="876300"/>
        </a:xfrm>
        <a:prstGeom prst="rect">
          <a:avLst/>
        </a:prstGeom>
      </xdr:spPr>
    </xdr:pic>
    <xdr:clientData/>
  </xdr:twoCellAnchor>
  <xdr:twoCellAnchor>
    <xdr:from>
      <xdr:col>0</xdr:col>
      <xdr:colOff>319087</xdr:colOff>
      <xdr:row>37</xdr:row>
      <xdr:rowOff>133350</xdr:rowOff>
    </xdr:from>
    <xdr:to>
      <xdr:col>3</xdr:col>
      <xdr:colOff>1362075</xdr:colOff>
      <xdr:row>52</xdr:row>
      <xdr:rowOff>19050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37"/>
  <sheetViews>
    <sheetView showGridLines="0" showRowColHeaders="0" tabSelected="1" zoomScaleNormal="100" workbookViewId="0">
      <selection activeCell="E32" sqref="E32"/>
    </sheetView>
  </sheetViews>
  <sheetFormatPr defaultColWidth="0" defaultRowHeight="15"/>
  <cols>
    <col min="1" max="1" width="5.7109375" customWidth="1"/>
    <col min="2" max="3" width="32.7109375" customWidth="1"/>
    <col min="4" max="4" width="20.7109375" customWidth="1"/>
    <col min="5" max="5" width="5.7109375" customWidth="1"/>
    <col min="6" max="6" width="0" hidden="1" customWidth="1"/>
    <col min="7" max="9" width="9.140625" hidden="1" customWidth="1"/>
    <col min="10" max="16384" width="9.140625" hidden="1"/>
  </cols>
  <sheetData>
    <row r="7" spans="2:4" ht="15.75" thickBot="1"/>
    <row r="8" spans="2:4" ht="18">
      <c r="B8" s="17" t="s">
        <v>16</v>
      </c>
      <c r="C8" s="18"/>
      <c r="D8" s="19"/>
    </row>
    <row r="9" spans="2:4" ht="15.75">
      <c r="B9" s="28" t="s">
        <v>13</v>
      </c>
      <c r="C9" s="29"/>
      <c r="D9" s="2">
        <v>4200</v>
      </c>
    </row>
    <row r="10" spans="2:4" ht="15.75">
      <c r="B10" s="28" t="s">
        <v>14</v>
      </c>
      <c r="C10" s="29"/>
      <c r="D10" s="42">
        <v>6.0000000000000001E-3</v>
      </c>
    </row>
    <row r="11" spans="2:4" ht="16.5" thickBot="1">
      <c r="B11" s="25" t="s">
        <v>15</v>
      </c>
      <c r="C11" s="31"/>
      <c r="D11" s="27">
        <f>salario*30%</f>
        <v>1260</v>
      </c>
    </row>
    <row r="12" spans="2:4" ht="15.75" thickBot="1"/>
    <row r="13" spans="2:4" ht="19.5" customHeight="1">
      <c r="B13" s="14" t="s">
        <v>0</v>
      </c>
      <c r="C13" s="15"/>
      <c r="D13" s="16"/>
    </row>
    <row r="14" spans="2:4" ht="15.75">
      <c r="B14" s="28" t="s">
        <v>2</v>
      </c>
      <c r="C14" s="30"/>
      <c r="D14" s="3">
        <v>1260</v>
      </c>
    </row>
    <row r="15" spans="2:4" ht="15.75">
      <c r="B15" s="28" t="s">
        <v>3</v>
      </c>
      <c r="C15" s="30"/>
      <c r="D15" s="4">
        <v>10</v>
      </c>
    </row>
    <row r="16" spans="2:4" ht="15.75">
      <c r="B16" s="28" t="s">
        <v>1</v>
      </c>
      <c r="C16" s="30"/>
      <c r="D16" s="5">
        <v>1.0789999999999999E-2</v>
      </c>
    </row>
    <row r="17" spans="1:4" ht="15.75">
      <c r="B17" s="23" t="s">
        <v>4</v>
      </c>
      <c r="C17" s="24"/>
      <c r="D17" s="6">
        <f>FV(taxaMensal,qtdAnos*12,-aporte)</f>
        <v>306538.10778801696</v>
      </c>
    </row>
    <row r="18" spans="1:4" ht="16.5" thickBot="1">
      <c r="B18" s="25" t="s">
        <v>5</v>
      </c>
      <c r="C18" s="26"/>
      <c r="D18" s="7">
        <f>patrimonio*rendimentoCarteira</f>
        <v>1839.2286467281017</v>
      </c>
    </row>
    <row r="19" spans="1:4" ht="15.75" thickBot="1"/>
    <row r="20" spans="1:4" ht="19.5" customHeight="1">
      <c r="B20" s="20" t="s">
        <v>11</v>
      </c>
      <c r="C20" s="21"/>
      <c r="D20" s="22" t="s">
        <v>12</v>
      </c>
    </row>
    <row r="21" spans="1:4" ht="15.75">
      <c r="A21" s="1">
        <v>2</v>
      </c>
      <c r="B21" s="32" t="s">
        <v>6</v>
      </c>
      <c r="C21" s="8">
        <f>FV(taxaMensal,A21*12,-aporte)</f>
        <v>34306.810395032975</v>
      </c>
      <c r="D21" s="9">
        <f>C21*rendimentoCarteira</f>
        <v>205.84086237019787</v>
      </c>
    </row>
    <row r="22" spans="1:4" ht="15.75">
      <c r="A22" s="1">
        <v>5</v>
      </c>
      <c r="B22" s="33" t="s">
        <v>7</v>
      </c>
      <c r="C22" s="10">
        <f>FV(taxaMensal,A22*12,-aporte)</f>
        <v>105558.91163809443</v>
      </c>
      <c r="D22" s="9">
        <f>C22*rendimentoCarteira</f>
        <v>633.35346982856663</v>
      </c>
    </row>
    <row r="23" spans="1:4" ht="15.75">
      <c r="A23" s="1">
        <v>10</v>
      </c>
      <c r="B23" s="33" t="s">
        <v>8</v>
      </c>
      <c r="C23" s="10">
        <f>FV(taxaMensal,A23*12,-aporte)</f>
        <v>306538.10778801696</v>
      </c>
      <c r="D23" s="9">
        <f>C23*rendimentoCarteira</f>
        <v>1839.2286467281017</v>
      </c>
    </row>
    <row r="24" spans="1:4" ht="15.75">
      <c r="A24" s="1">
        <v>20</v>
      </c>
      <c r="B24" s="33" t="s">
        <v>9</v>
      </c>
      <c r="C24" s="10">
        <f>FV(taxaMensal,A24*12,-aporte)</f>
        <v>1417749.9841223215</v>
      </c>
      <c r="D24" s="9">
        <f>C24*rendimentoCarteira</f>
        <v>8506.4999047339297</v>
      </c>
    </row>
    <row r="25" spans="1:4" ht="16.5" thickBot="1">
      <c r="A25" s="1">
        <v>30</v>
      </c>
      <c r="B25" s="34" t="s">
        <v>10</v>
      </c>
      <c r="C25" s="11">
        <f>FV(taxaMensal,A25*12,-aporte)</f>
        <v>5445933.7653059401</v>
      </c>
      <c r="D25" s="12">
        <f>C25*rendimentoCarteira</f>
        <v>32675.602591835643</v>
      </c>
    </row>
    <row r="27" spans="1:4" ht="18">
      <c r="B27" s="36" t="s">
        <v>17</v>
      </c>
      <c r="C27" s="38" t="s">
        <v>31</v>
      </c>
      <c r="D27" s="35"/>
    </row>
    <row r="28" spans="1:4" ht="15.75">
      <c r="B28" s="48" t="s">
        <v>18</v>
      </c>
      <c r="C28" s="50">
        <v>200</v>
      </c>
      <c r="D28" s="49"/>
    </row>
    <row r="30" spans="1:4" ht="15.75">
      <c r="B30" s="44" t="s">
        <v>19</v>
      </c>
      <c r="C30" s="44" t="s">
        <v>20</v>
      </c>
      <c r="D30" s="44" t="s">
        <v>21</v>
      </c>
    </row>
    <row r="31" spans="1:4">
      <c r="B31" s="45" t="s">
        <v>22</v>
      </c>
      <c r="C31" s="46">
        <f>VLOOKUP($C$27&amp;"-"&amp;B31,Planilha2!A:D,4,0)</f>
        <v>0.32</v>
      </c>
      <c r="D31" s="47">
        <f>$C$28*C31</f>
        <v>64</v>
      </c>
    </row>
    <row r="32" spans="1:4">
      <c r="B32" s="45" t="s">
        <v>23</v>
      </c>
      <c r="C32" s="46">
        <f>VLOOKUP($C$27&amp;"-"&amp;B32,Planilha2!A:D,4,0)</f>
        <v>0.4</v>
      </c>
      <c r="D32" s="47">
        <f t="shared" ref="D32:D36" si="0">$C$28*C32</f>
        <v>80</v>
      </c>
    </row>
    <row r="33" spans="2:4">
      <c r="B33" s="45" t="s">
        <v>24</v>
      </c>
      <c r="C33" s="46">
        <f>VLOOKUP($C$27&amp;"-"&amp;B33,Planilha2!A:D,4,0)</f>
        <v>0.08</v>
      </c>
      <c r="D33" s="47">
        <f t="shared" si="0"/>
        <v>16</v>
      </c>
    </row>
    <row r="34" spans="2:4">
      <c r="B34" s="45" t="s">
        <v>25</v>
      </c>
      <c r="C34" s="46">
        <f>VLOOKUP($C$27&amp;"-"&amp;B34,Planilha2!A:D,4,0)</f>
        <v>0.1</v>
      </c>
      <c r="D34" s="47">
        <f t="shared" si="0"/>
        <v>20</v>
      </c>
    </row>
    <row r="35" spans="2:4">
      <c r="B35" s="45" t="s">
        <v>26</v>
      </c>
      <c r="C35" s="46">
        <f>VLOOKUP($C$27&amp;"-"&amp;B35,Planilha2!A:D,4,0)</f>
        <v>0.1</v>
      </c>
      <c r="D35" s="47">
        <f t="shared" si="0"/>
        <v>20</v>
      </c>
    </row>
    <row r="36" spans="2:4">
      <c r="B36" s="45" t="s">
        <v>27</v>
      </c>
      <c r="C36" s="46">
        <f>VLOOKUP($C$27&amp;"-"&amp;B36,Planilha2!A:D,4,0)</f>
        <v>0.1</v>
      </c>
      <c r="D36" s="47">
        <f t="shared" si="0"/>
        <v>20</v>
      </c>
    </row>
    <row r="37" spans="2:4">
      <c r="B37" s="43">
        <f>SUM(D31:D36)</f>
        <v>220</v>
      </c>
      <c r="C37" s="43"/>
      <c r="D37" s="43"/>
    </row>
  </sheetData>
  <mergeCells count="12">
    <mergeCell ref="B37:D37"/>
    <mergeCell ref="B14:C14"/>
    <mergeCell ref="B15:C15"/>
    <mergeCell ref="B16:C16"/>
    <mergeCell ref="B17:C17"/>
    <mergeCell ref="B18:C18"/>
    <mergeCell ref="B20:C20"/>
    <mergeCell ref="B8:D8"/>
    <mergeCell ref="B9:C9"/>
    <mergeCell ref="B10:C10"/>
    <mergeCell ref="B11:C11"/>
    <mergeCell ref="B13:D13"/>
  </mergeCells>
  <dataValidations count="1">
    <dataValidation type="list" allowBlank="1" showInputMessage="1" showErrorMessage="1" sqref="C27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workbookViewId="0">
      <selection activeCell="A3" sqref="A3"/>
    </sheetView>
  </sheetViews>
  <sheetFormatPr defaultRowHeight="15"/>
  <cols>
    <col min="1" max="1" width="31.28515625" bestFit="1" customWidth="1"/>
    <col min="2" max="2" width="12.140625" bestFit="1" customWidth="1"/>
    <col min="3" max="3" width="19" bestFit="1" customWidth="1"/>
  </cols>
  <sheetData>
    <row r="2" spans="1:4">
      <c r="A2" t="s">
        <v>30</v>
      </c>
      <c r="B2" t="s">
        <v>17</v>
      </c>
      <c r="C2" t="s">
        <v>19</v>
      </c>
      <c r="D2" t="s">
        <v>29</v>
      </c>
    </row>
    <row r="3" spans="1:4">
      <c r="A3" t="str">
        <f>$B$3&amp;"-"&amp;C3</f>
        <v>Conservador-PAPEL</v>
      </c>
      <c r="B3" t="s">
        <v>28</v>
      </c>
      <c r="C3" t="s">
        <v>22</v>
      </c>
      <c r="D3" s="37">
        <v>0.3</v>
      </c>
    </row>
    <row r="4" spans="1:4">
      <c r="A4" t="str">
        <f t="shared" ref="A4:A8" si="0">$B$3&amp;"-"&amp;C4</f>
        <v>Conservador-TIJOLO</v>
      </c>
      <c r="B4" t="s">
        <v>28</v>
      </c>
      <c r="C4" t="s">
        <v>23</v>
      </c>
      <c r="D4" s="37">
        <v>0.5</v>
      </c>
    </row>
    <row r="5" spans="1:4">
      <c r="A5" t="str">
        <f t="shared" si="0"/>
        <v>Conservador-HÍBRIDOS</v>
      </c>
      <c r="B5" t="s">
        <v>28</v>
      </c>
      <c r="C5" t="s">
        <v>24</v>
      </c>
      <c r="D5" s="37">
        <v>0.1</v>
      </c>
    </row>
    <row r="6" spans="1:4">
      <c r="A6" t="str">
        <f t="shared" si="0"/>
        <v>Conservador-FOFs</v>
      </c>
      <c r="B6" t="s">
        <v>28</v>
      </c>
      <c r="C6" t="s">
        <v>25</v>
      </c>
      <c r="D6" s="37">
        <v>0.1</v>
      </c>
    </row>
    <row r="7" spans="1:4">
      <c r="A7" t="str">
        <f t="shared" si="0"/>
        <v>Conservador-DESENVOLVIMENTO</v>
      </c>
      <c r="B7" t="s">
        <v>28</v>
      </c>
      <c r="C7" t="s">
        <v>26</v>
      </c>
      <c r="D7" s="37">
        <v>0</v>
      </c>
    </row>
    <row r="8" spans="1:4" ht="15.75" thickBot="1">
      <c r="A8" s="13" t="str">
        <f t="shared" si="0"/>
        <v>Conservador-HOTELARIAS</v>
      </c>
      <c r="B8" s="13" t="s">
        <v>28</v>
      </c>
      <c r="C8" s="13" t="s">
        <v>27</v>
      </c>
      <c r="D8" s="39">
        <v>0</v>
      </c>
    </row>
    <row r="9" spans="1:4">
      <c r="A9" t="str">
        <f>$B$9&amp;"-"&amp;C9</f>
        <v>Moderado-PAPEL</v>
      </c>
      <c r="B9" t="s">
        <v>31</v>
      </c>
      <c r="C9" t="s">
        <v>22</v>
      </c>
      <c r="D9" s="40">
        <v>0.32</v>
      </c>
    </row>
    <row r="10" spans="1:4">
      <c r="A10" t="str">
        <f t="shared" ref="A10:A14" si="1">$B$9&amp;"-"&amp;C10</f>
        <v>Moderado-TIJOLO</v>
      </c>
      <c r="B10" t="s">
        <v>31</v>
      </c>
      <c r="C10" t="s">
        <v>23</v>
      </c>
      <c r="D10" s="40">
        <v>0.4</v>
      </c>
    </row>
    <row r="11" spans="1:4">
      <c r="A11" t="str">
        <f t="shared" si="1"/>
        <v>Moderado-HÍBRIDOS</v>
      </c>
      <c r="B11" t="s">
        <v>31</v>
      </c>
      <c r="C11" t="s">
        <v>24</v>
      </c>
      <c r="D11" s="40">
        <v>0.08</v>
      </c>
    </row>
    <row r="12" spans="1:4">
      <c r="A12" t="str">
        <f t="shared" si="1"/>
        <v>Moderado-FOFs</v>
      </c>
      <c r="B12" t="s">
        <v>31</v>
      </c>
      <c r="C12" t="s">
        <v>25</v>
      </c>
      <c r="D12" s="40">
        <v>0.1</v>
      </c>
    </row>
    <row r="13" spans="1:4">
      <c r="A13" t="str">
        <f t="shared" si="1"/>
        <v>Moderado-DESENVOLVIMENTO</v>
      </c>
      <c r="B13" t="s">
        <v>31</v>
      </c>
      <c r="C13" t="s">
        <v>26</v>
      </c>
      <c r="D13" s="40">
        <v>0.1</v>
      </c>
    </row>
    <row r="14" spans="1:4" ht="15.75" thickBot="1">
      <c r="A14" s="13" t="str">
        <f>$B$9&amp;"-"&amp;C14</f>
        <v>Moderado-HOTELARIAS</v>
      </c>
      <c r="B14" s="13" t="s">
        <v>31</v>
      </c>
      <c r="C14" s="13" t="s">
        <v>27</v>
      </c>
      <c r="D14" s="41">
        <v>0.1</v>
      </c>
    </row>
    <row r="15" spans="1:4">
      <c r="A15" t="str">
        <f>$B$15&amp;"-"&amp;C15</f>
        <v>Agressivo-PAPEL</v>
      </c>
      <c r="B15" t="s">
        <v>32</v>
      </c>
      <c r="C15" t="s">
        <v>22</v>
      </c>
      <c r="D15" s="40">
        <v>0.5</v>
      </c>
    </row>
    <row r="16" spans="1:4">
      <c r="A16" t="str">
        <f t="shared" ref="A16:A20" si="2">$B$15&amp;"-"&amp;C16</f>
        <v>Agressivo-TIJOLO</v>
      </c>
      <c r="B16" t="s">
        <v>32</v>
      </c>
      <c r="C16" t="s">
        <v>23</v>
      </c>
      <c r="D16" s="40">
        <v>0.1</v>
      </c>
    </row>
    <row r="17" spans="1:4">
      <c r="A17" t="str">
        <f t="shared" si="2"/>
        <v>Agressivo-HÍBRIDOS</v>
      </c>
      <c r="B17" t="s">
        <v>32</v>
      </c>
      <c r="C17" t="s">
        <v>24</v>
      </c>
      <c r="D17" s="40">
        <v>0.05</v>
      </c>
    </row>
    <row r="18" spans="1:4">
      <c r="A18" t="str">
        <f t="shared" si="2"/>
        <v>Agressivo-FOFs</v>
      </c>
      <c r="B18" t="s">
        <v>32</v>
      </c>
      <c r="C18" t="s">
        <v>25</v>
      </c>
      <c r="D18" s="40">
        <v>0.05</v>
      </c>
    </row>
    <row r="19" spans="1:4">
      <c r="A19" t="str">
        <f t="shared" si="2"/>
        <v>Agressivo-DESENVOLVIMENTO</v>
      </c>
      <c r="B19" t="s">
        <v>32</v>
      </c>
      <c r="C19" t="s">
        <v>26</v>
      </c>
      <c r="D19" s="40">
        <v>0.2</v>
      </c>
    </row>
    <row r="20" spans="1:4">
      <c r="A20" t="str">
        <f t="shared" si="2"/>
        <v>Agressivo-HOTELARIAS</v>
      </c>
      <c r="B20" t="s">
        <v>32</v>
      </c>
      <c r="C20" t="s">
        <v>27</v>
      </c>
      <c r="D20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qtdAnos</vt:lpstr>
      <vt:lpstr>rendimentoCarteira</vt:lpstr>
      <vt:lpstr>salario</vt:lpstr>
      <vt:lpstr>sugestaoInvestimento</vt:lpstr>
      <vt:lpstr>taxaMensal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Arruda de Matos</dc:creator>
  <cp:lastModifiedBy>Leonardo Arruda de Matos</cp:lastModifiedBy>
  <dcterms:created xsi:type="dcterms:W3CDTF">2026-02-06T11:18:58Z</dcterms:created>
  <dcterms:modified xsi:type="dcterms:W3CDTF">2026-02-09T20:30:45Z</dcterms:modified>
</cp:coreProperties>
</file>